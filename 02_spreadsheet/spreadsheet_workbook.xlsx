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_raw" sheetId="1" r:id="rId5"/>
    <sheet state="visible" name="exchange_rates" sheetId="2" r:id="rId6"/>
    <sheet state="visible" name="merchant_master" sheetId="3" r:id="rId7"/>
    <sheet state="visible" name="merchant_risk_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<sst xmlns="http://schemas.openxmlformats.org/spreadsheetml/2006/main" count="296" uniqueCount="133">
  <si>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</si>
  <si>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</si>
  <si>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</si>
  <si>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</si>
  <si>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</si>
  <si>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</si>
  <si>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</si>
  <si>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</si>
  <si>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</si>
  <si>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</si>
  <si>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merchant_name_clean</t>
  </si>
  <si>
    <t>transaction_date_clean</t>
  </si>
  <si>
    <t>status_clean</t>
  </si>
  <si>
    <t>risk_score_clean</t>
  </si>
  <si>
    <t>gateway_region_clean</t>
  </si>
  <si>
    <t>rate</t>
  </si>
  <si>
    <t>amount_usd</t>
  </si>
  <si>
    <t>high_value_flag</t>
  </si>
  <si>
    <t>high_risk_flag</t>
  </si>
  <si>
    <t>T001</t>
  </si>
  <si>
    <t>alpha mart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</si>
  <si>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</si>
  <si>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</si>
  <si>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</si>
  <si>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</si>
  <si>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</si>
  <si>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</si>
  <si>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</si>
  <si>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</si>
  <si>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>Captured</t>
  </si>
  <si>
    <t>U002</t>
  </si>
  <si>
    <t>Card</t>
  </si>
  <si>
    <t>T003</t>
  </si>
  <si>
    <t>BETA STORES</t>
  </si>
  <si>
    <t>CAPTURED</t>
  </si>
  <si>
    <t>U003</t>
  </si>
  <si>
    <t>NetBanking</t>
  </si>
  <si>
    <t>T004</t>
  </si>
  <si>
    <t>Beta  Stores</t>
  </si>
  <si>
    <t>failed e05 timeout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</si>
  <si>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</si>
  <si>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</si>
  <si>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</si>
  <si>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</si>
  <si>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</si>
  <si>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</si>
  <si>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</si>
  <si>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</si>
  <si>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</si>
  <si>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</si>
  <si>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</si>
  <si>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</si>
  <si>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</si>
  <si>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</si>
  <si>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</si>
  <si>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</si>
  <si>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</si>
  <si>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</si>
  <si>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</si>
  <si>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</si>
  <si>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</si>
  <si>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</si>
  <si>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</si>
  <si>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</si>
  <si>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</si>
  <si>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</si>
  <si>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</si>
  <si>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</si>
  <si>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</si>
  <si>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</si>
  <si>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</si>
  <si>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</si>
  <si>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</si>
  <si>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</si>
  <si>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</si>
  <si>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</si>
  <si>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</si>
  <si>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</si>
  <si>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</si>
  <si>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>risk-86</t>
  </si>
  <si>
    <t>T019</t>
  </si>
  <si>
    <t>score:67</t>
  </si>
  <si>
    <t>T020</t>
  </si>
  <si>
    <t>T021</t>
  </si>
  <si>
    <t>beta stores</t>
  </si>
  <si>
    <t>score:63</t>
  </si>
  <si>
    <t>T022</t>
  </si>
  <si>
    <t>T023</t>
  </si>
  <si>
    <t>City Pharma</t>
  </si>
  <si>
    <t>EUR</t>
  </si>
  <si>
    <t>EU</t>
  </si>
  <si>
    <t>T024</t>
  </si>
  <si>
    <t>Eco Home</t>
  </si>
  <si>
    <t>score:65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</si>
  <si>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</si>
  <si>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</si>
  <si>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</si>
  <si>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</si>
  <si>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</si>
  <si>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</si>
  <si>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</si>
  <si>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</si>
  <si>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</si>
  <si>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</si>
  <si>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</si>
  <si>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</si>
  <si>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>delta travels</t>
  </si>
  <si>
    <t>score:58</t>
  </si>
  <si>
    <t>T030</t>
  </si>
  <si>
    <t>score:47</t>
  </si>
  <si>
    <t>rate_date</t>
  </si>
  <si>
    <t>usd_rate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</si>
  <si>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</si>
  <si>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</si>
  <si>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</si>
  <si>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</si>
  <si>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</si>
  <si>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</si>
  <si>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</si>
  <si>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</si>
  <si>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</si>
  <si>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</si>
  <si>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</si>
  <si>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</si>
  <si>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</si>
  <si>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</si>
  <si>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</si>
  <si>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</si>
  <si>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</si>
  <si>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</si>
  <si>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</si>
  <si>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SUM of high_risk_flag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</si>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</sst>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3" numFmtId="0" xfId="0" applyAlignment="1" applyFont="1">
      <alignment vertical="bottom"/>
    </xf>
    <xf borderId="0" fillId="0" fontId="1" numFmtId="0" xfId="0" applyFont="1"/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31" sheet="transactions_raw"/>
  </cacheSource>
  <cacheFields>
    <cacheField name="transaction_id" numFmtId="0">
      <sharedItems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</sharedItems>
    </cacheField>
    <cacheField name="transaction_date" numFmtId="164">
      <sharedItems containsSemiMixedTypes="0" containsDate="1" containsString="0">
        <d v="2026-03-01T00:00:00Z"/>
        <d v="2026-03-02T00:00:00Z"/>
        <d v="2026-03-03T00:00:00Z"/>
        <d v="2026-03-04T00:00:00Z"/>
        <d v="2026-03-05T00:00:00Z"/>
        <d v="2026-03-06T00:00:00Z"/>
      </sharedItems>
    </cacheField>
    <cacheField name="merchant_name" numFmtId="0">
      <sharedItems>
        <s v="alpha mart"/>
        <s v="BETA STORES"/>
        <s v="Beta  Stores"/>
        <s v="Alpha  Mart"/>
        <s v="City Pharma"/>
        <s v="Eco Home"/>
        <s v="DELTA TRAVELS"/>
      </sharedItems>
    </cacheField>
    <cacheField name="raw_amount" numFmtId="0">
      <sharedItems containsSemiMixedTypes="0" containsString="0" containsNumber="1" containsInteger="1">
        <n v="420000.0"/>
        <n v="210000.0"/>
        <n v="510000.0"/>
        <n v="160000.0"/>
        <n v="390000.0"/>
        <n v="275000.0"/>
        <n v="450000.0"/>
        <n v="340000.0"/>
        <n v="125000.0"/>
        <n v="610000.0"/>
        <n v="195000.0"/>
        <n v="250000.0"/>
        <n v="310000.0"/>
        <n v="470000.0"/>
        <n v="130000.0"/>
        <n v="220000.0"/>
        <n v="180000.0"/>
        <n v="145000.0"/>
        <n v="260000.0"/>
        <n v="520000.0"/>
        <n v="330000.0"/>
        <n v="410000.0"/>
        <n v="5200.0"/>
        <n v="6100.0"/>
        <n v="2800.0"/>
        <n v="3300.0"/>
        <n v="7200.0"/>
        <n v="3100.0"/>
        <n v="2500.0"/>
        <n v="1800.0"/>
      </sharedItems>
    </cacheField>
    <cacheField name="currency" numFmtId="0">
      <sharedItems>
        <s v="INR"/>
        <s v="EUR"/>
        <s v="USD"/>
      </sharedItems>
    </cacheField>
    <cacheField name="status" numFmtId="0">
      <sharedItems>
        <s v="captured"/>
        <s v="failed e05 timeout"/>
        <s v="chargeback"/>
      </sharedItems>
    </cacheField>
    <cacheField name="risk_score">
      <sharedItems containsBlank="1" containsMixedTypes="1" containsNumber="1" containsInteger="1">
        <s v="score:62"/>
        <n v="55.0"/>
        <n v="71.0"/>
        <n v="68.0"/>
        <n v="58.0"/>
        <s v="score:64"/>
        <s v="risk-83"/>
        <n v="59.0"/>
        <n v="46.0"/>
        <s v="risk-77"/>
        <m/>
        <s v="risk-61"/>
        <s v="score:54"/>
        <s v="risk-73"/>
        <s v="score:52"/>
        <s v="risk-69"/>
        <s v="score:72"/>
        <s v="risk-86"/>
        <s v="score:67"/>
        <n v="75.0"/>
        <s v="score:63"/>
        <n v="60.0"/>
        <n v="42.0"/>
        <s v="score:65"/>
        <n v="38.0"/>
        <n v="44.0"/>
        <n v="49.0"/>
        <s v="risk-41"/>
        <s v="score:58"/>
        <s v="score:47"/>
      </sharedItems>
    </cacheField>
    <cacheField name="gateway_region" numFmtId="0">
      <sharedItems containsBlank="1">
        <s v="APAC"/>
        <m/>
        <s v="EU"/>
        <s v="us"/>
      </sharedItems>
    </cacheField>
    <cacheField name="user_id" numFmtId="0">
      <sharedItems>
        <s v="U001"/>
        <s v="U002"/>
        <s v="U003"/>
        <s v="U004"/>
        <s v="U005"/>
        <s v="U006"/>
        <s v="U007"/>
        <s v="U008"/>
        <s v="U009"/>
        <s v="U010"/>
      </sharedItems>
    </cacheField>
    <cacheField name="payment_method" numFmtId="0">
      <sharedItems>
        <s v="UPI"/>
        <s v="Card"/>
        <s v="NetBanking"/>
        <s v="Wallet"/>
      </sharedItems>
    </cacheField>
    <cacheField name="merchant_name_clean" numFmtId="0">
      <sharedItems>
        <s v="Alpha Mart"/>
        <s v="Beta Stores"/>
        <s v="City Pharma"/>
        <s v="Eco Home"/>
        <s v="Delta Travels"/>
      </sharedItems>
    </cacheField>
    <cacheField name="transaction_date_clean" numFmtId="165">
      <sharedItems containsSemiMixedTypes="0" containsDate="1" containsString="0">
        <d v="2026-03-01T00:00:00Z"/>
        <d v="2026-03-02T00:00:00Z"/>
        <d v="2026-03-03T00:00:00Z"/>
        <d v="2026-03-04T00:00:00Z"/>
        <d v="2026-03-05T00:00:00Z"/>
        <d v="2026-03-06T00:00:00Z"/>
      </sharedItems>
    </cacheField>
    <cacheField name="status_clean" numFmtId="0">
      <sharedItems>
        <s v="CAPTURED"/>
        <s v="FAILED"/>
        <s v="OTHER"/>
      </sharedItems>
    </cacheField>
    <cacheField name="risk_score_clean" numFmtId="0">
      <sharedItems containsSemiMixedTypes="0" containsString="0" containsNumber="1" containsInteger="1">
        <n v="62.0"/>
        <n v="55.0"/>
        <n v="71.0"/>
        <n v="68.0"/>
        <n v="58.0"/>
        <n v="64.0"/>
        <n v="83.0"/>
        <n v="59.0"/>
        <n v="46.0"/>
        <n v="77.0"/>
        <n v="0.0"/>
        <n v="61.0"/>
        <n v="54.0"/>
        <n v="73.0"/>
        <n v="52.0"/>
        <n v="69.0"/>
        <n v="72.0"/>
        <n v="86.0"/>
        <n v="67.0"/>
        <n v="75.0"/>
        <n v="63.0"/>
        <n v="60.0"/>
        <n v="42.0"/>
        <n v="65.0"/>
        <n v="38.0"/>
        <n v="44.0"/>
        <n v="49.0"/>
        <n v="41.0"/>
        <n v="47.0"/>
      </sharedItems>
    </cacheField>
    <cacheField name="gateway_region_clean" numFmtId="0">
      <sharedItems>
        <s v="APAC"/>
        <s v="UNKNOWN"/>
        <s v="EU"/>
        <s v="US"/>
      </sharedItems>
    </cacheField>
    <cacheField name="rate" numFmtId="0">
      <sharedItems containsSemiMixedTypes="0" containsString="0" containsNumber="1">
        <n v="0.0119"/>
        <n v="0.012"/>
        <n v="0.0121"/>
        <n v="0.0118"/>
        <n v="1.08"/>
        <n v="1.09"/>
        <n v="1.0"/>
      </sharedItems>
    </cacheField>
    <cacheField name="amount_usd" numFmtId="0">
      <sharedItems containsSemiMixedTypes="0" containsString="0" containsNumber="1">
        <n v="4998.0"/>
        <n v="2499.0"/>
        <n v="6069.0"/>
        <n v="1920.0"/>
        <n v="4680.0"/>
        <n v="3300.0"/>
        <n v="5400.0"/>
        <n v="4114.0"/>
        <n v="1512.5"/>
        <n v="7381.0"/>
        <n v="2359.5"/>
        <n v="3000.0"/>
        <n v="3720.0"/>
        <n v="5640.0"/>
        <n v="1560.0"/>
        <n v="2596.0"/>
        <n v="2124.0"/>
        <n v="1711.0"/>
        <n v="3068.0"/>
        <n v="6136.0"/>
        <n v="3927.0000000000005"/>
        <n v="4879.0"/>
        <n v="5616.0"/>
        <n v="6649.000000000001"/>
        <n v="3024.0"/>
        <n v="3597.0000000000005"/>
        <n v="7200.0"/>
        <n v="3100.0"/>
        <n v="2500.0"/>
        <n v="1800.0"/>
      </sharedItems>
    </cacheField>
    <cacheField name="high_value_flag" numFmtId="0">
      <sharedItems containsSemiMixedTypes="0" containsString="0" containsNumber="1" containsInteger="1">
        <n v="1.0"/>
        <n v="0.0"/>
      </sharedItems>
    </cacheField>
    <cacheField name="high_risk_flag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erchant_risk_summary" cacheId="0" dataCaption="" compact="0" compactData="0">
  <location ref="A1:B7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w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rrency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gateway_region" compact="0" outline="0" multipleItemSelectionAllowed="1" showAll="0">
      <items>
        <item x="0"/>
        <item x="1"/>
        <item x="2"/>
        <item x="3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merchant_name_clean" axis="axisRow" compact="0" outline="0" multipleItemSelectionAllowed="1" showAll="0" sortType="ascending">
      <items>
        <item x="0"/>
        <item x="1"/>
        <item x="2"/>
        <item x="4"/>
        <item x="3"/>
        <item t="default"/>
      </items>
    </pivotField>
    <pivotField name="transaction_date_clean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clean" compact="0" outline="0" multipleItemSelectionAllowed="1" showAll="0">
      <items>
        <item x="0"/>
        <item x="1"/>
        <item x="2"/>
        <item t="default"/>
      </items>
    </pivotField>
    <pivotField name="risk_scor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gateway_region_clean" compact="0" outline="0" multipleItemSelectionAllowed="1" showAll="0">
      <items>
        <item x="0"/>
        <item x="1"/>
        <item x="2"/>
        <item x="3"/>
        <item t="default"/>
      </items>
    </pivotField>
    <pivotField name="r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high_value_flag" compact="0" outline="0" multipleItemSelectionAllowed="1" showAll="0">
      <items>
        <item x="0"/>
        <item x="1"/>
        <item t="default"/>
      </items>
    </pivotField>
    <pivotField name="high_risk_flag" dataField="1" compact="0" outline="0" multipleItemSelectionAllowed="1" showAll="0">
      <items>
        <item x="0"/>
        <item x="1"/>
        <item t="default"/>
      </items>
    </pivotField>
  </pivotFields>
  <rowFields>
    <field x="10"/>
  </rowFields>
  <dataFields>
    <dataField name="SUM of high_risk_flag" fld="1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4.38"/>
    <col customWidth="1" min="3" max="3" width="14.0"/>
    <col customWidth="1" min="4" max="4" width="10.88"/>
    <col customWidth="1" min="5" max="5" width="8.0"/>
    <col customWidth="1" min="6" max="6" width="18.0"/>
    <col customWidth="1" min="7" max="7" width="9.38"/>
    <col customWidth="1" min="8" max="8" width="13.63"/>
    <col customWidth="1" min="9" max="9" width="6.88"/>
    <col customWidth="1" min="10" max="10" width="14.75"/>
    <col customWidth="1" min="11" max="11" width="19.0"/>
    <col customWidth="1" min="12" max="12" width="19.5"/>
    <col customWidth="1" min="13" max="13" width="11.13"/>
    <col customWidth="1" min="14" max="14" width="14.5"/>
    <col customWidth="1" min="15" max="15" width="18.75"/>
    <col customWidth="1" min="16" max="16" width="6.13"/>
    <col customWidth="1" min="17" max="17" width="10.88"/>
    <col customWidth="1" min="18" max="18" width="13.63"/>
    <col customWidth="1" min="19" max="19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4">
        <v>46082.0</v>
      </c>
      <c r="C2" s="3" t="s">
        <v>20</v>
      </c>
      <c r="D2" s="3">
        <v>420000.0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tr">
        <f t="shared" ref="K2:K31" si="1">TRIM(PROPER(C:C))</f>
        <v>Alpha Mart</v>
      </c>
      <c r="L2" s="5">
        <f t="shared" ref="L2:L31" si="2">DATEVALUE(B:B)</f>
        <v>46082</v>
      </c>
      <c r="M2" s="6" t="str">
        <f t="shared" ref="M2:M31" si="3">IF(ISNUMBER(SEARCH("captured", F2)), "CAPTURED", IF(ISNUMBER(SEARCH("failed", F2)), "FAILED", "OTHER"))</f>
        <v>CAPTURED</v>
      </c>
      <c r="N2" s="6">
        <f>IFERROR(__xludf.DUMMYFUNCTION("IFERROR(VALUE(REGEXREPLACE(TO_TEXT(G2), ""[^0-9]"", """")), 0)"),62.0)</f>
        <v>62</v>
      </c>
      <c r="O2" s="6" t="str">
        <f t="shared" ref="O2:O31" si="4">IF(H2="", "UNKNOWN", UPPER(TRIM(H2)))</f>
        <v>APAC</v>
      </c>
      <c r="P2" s="6">
        <f t="array" ref="P2">INDEX(exchange_rates!$C:$C, MATCH(1, (exchange_rates!$B:$B=E2) * (exchange_rates!$A:$A=B2), 0))</f>
        <v>0.0119</v>
      </c>
      <c r="Q2" s="6">
        <f t="shared" ref="Q2:Q31" si="5">D2*P2</f>
        <v>4998</v>
      </c>
      <c r="R2" s="6">
        <f t="shared" ref="R2:R31" si="6">IF(AND(O2="APAC", D2 &gt; 5000), 1, 
 IF(AND(O2="EU", D2 &gt; 6000), 1, 
 IF(AND(O2="US", D2 &gt; 7000), 1, 0)))</f>
        <v>1</v>
      </c>
      <c r="S2" s="6">
        <f t="shared" ref="S2:S31" si="7">IF(OR(N2 &gt;= 70, M2="OTHER"), 1, 0)</f>
        <v>0</v>
      </c>
    </row>
    <row r="3">
      <c r="A3" s="3" t="s">
        <v>27</v>
      </c>
      <c r="B3" s="4">
        <v>46082.0</v>
      </c>
      <c r="C3" s="3" t="s">
        <v>28</v>
      </c>
      <c r="D3" s="3">
        <v>210000.0</v>
      </c>
      <c r="E3" s="3" t="s">
        <v>21</v>
      </c>
      <c r="F3" s="3" t="s">
        <v>29</v>
      </c>
      <c r="G3" s="3">
        <v>55.0</v>
      </c>
      <c r="I3" s="3" t="s">
        <v>30</v>
      </c>
      <c r="J3" s="3" t="s">
        <v>31</v>
      </c>
      <c r="K3" s="3" t="str">
        <f t="shared" si="1"/>
        <v>Alpha Mart</v>
      </c>
      <c r="L3" s="5">
        <f t="shared" si="2"/>
        <v>46082</v>
      </c>
      <c r="M3" s="6" t="str">
        <f t="shared" si="3"/>
        <v>CAPTURED</v>
      </c>
      <c r="N3" s="6">
        <f>IFERROR(__xludf.DUMMYFUNCTION("IFERROR(VALUE(REGEXREPLACE(TO_TEXT(G3), ""[^0-9]"", """")), 0)"),55.0)</f>
        <v>55</v>
      </c>
      <c r="O3" s="6" t="str">
        <f t="shared" si="4"/>
        <v>UNKNOWN</v>
      </c>
      <c r="P3" s="6">
        <f t="array" ref="P3">INDEX(exchange_rates!$C:$C, MATCH(1, (exchange_rates!$B:$B=E3) * (exchange_rates!$A:$A=B3), 0))</f>
        <v>0.0119</v>
      </c>
      <c r="Q3" s="6">
        <f t="shared" si="5"/>
        <v>2499</v>
      </c>
      <c r="R3" s="6">
        <f t="shared" si="6"/>
        <v>0</v>
      </c>
      <c r="S3" s="6">
        <f t="shared" si="7"/>
        <v>0</v>
      </c>
    </row>
    <row r="4">
      <c r="A4" s="3" t="s">
        <v>32</v>
      </c>
      <c r="B4" s="4">
        <v>46082.0</v>
      </c>
      <c r="C4" s="3" t="s">
        <v>33</v>
      </c>
      <c r="D4" s="3">
        <v>510000.0</v>
      </c>
      <c r="E4" s="3" t="s">
        <v>21</v>
      </c>
      <c r="F4" s="3" t="s">
        <v>34</v>
      </c>
      <c r="G4" s="3">
        <v>71.0</v>
      </c>
      <c r="H4" s="3" t="s">
        <v>24</v>
      </c>
      <c r="I4" s="3" t="s">
        <v>35</v>
      </c>
      <c r="J4" s="3" t="s">
        <v>36</v>
      </c>
      <c r="K4" s="3" t="str">
        <f t="shared" si="1"/>
        <v>Beta Stores</v>
      </c>
      <c r="L4" s="5">
        <f t="shared" si="2"/>
        <v>46082</v>
      </c>
      <c r="M4" s="6" t="str">
        <f t="shared" si="3"/>
        <v>CAPTURED</v>
      </c>
      <c r="N4" s="6">
        <f>IFERROR(__xludf.DUMMYFUNCTION("IFERROR(VALUE(REGEXREPLACE(TO_TEXT(G4), ""[^0-9]"", """")), 0)"),71.0)</f>
        <v>71</v>
      </c>
      <c r="O4" s="6" t="str">
        <f t="shared" si="4"/>
        <v>APAC</v>
      </c>
      <c r="P4" s="6">
        <f t="array" ref="P4">INDEX(exchange_rates!$C:$C, MATCH(1, (exchange_rates!$B:$B=E4) * (exchange_rates!$A:$A=B4), 0))</f>
        <v>0.0119</v>
      </c>
      <c r="Q4" s="6">
        <f t="shared" si="5"/>
        <v>6069</v>
      </c>
      <c r="R4" s="6">
        <f t="shared" si="6"/>
        <v>1</v>
      </c>
      <c r="S4" s="6">
        <f t="shared" si="7"/>
        <v>1</v>
      </c>
    </row>
    <row r="5">
      <c r="A5" s="3" t="s">
        <v>37</v>
      </c>
      <c r="B5" s="4">
        <v>46083.0</v>
      </c>
      <c r="C5" s="3" t="s">
        <v>38</v>
      </c>
      <c r="D5" s="3">
        <v>160000.0</v>
      </c>
      <c r="E5" s="3" t="s">
        <v>21</v>
      </c>
      <c r="F5" s="3" t="s">
        <v>39</v>
      </c>
      <c r="G5" s="3">
        <v>68.0</v>
      </c>
      <c r="H5" s="3" t="s">
        <v>40</v>
      </c>
      <c r="I5" s="3" t="s">
        <v>41</v>
      </c>
      <c r="J5" s="3" t="s">
        <v>31</v>
      </c>
      <c r="K5" s="3" t="str">
        <f t="shared" si="1"/>
        <v>Beta Stores</v>
      </c>
      <c r="L5" s="5">
        <f t="shared" si="2"/>
        <v>46083</v>
      </c>
      <c r="M5" s="6" t="str">
        <f t="shared" si="3"/>
        <v>FAILED</v>
      </c>
      <c r="N5" s="6">
        <f>IFERROR(__xludf.DUMMYFUNCTION("IFERROR(VALUE(REGEXREPLACE(TO_TEXT(G5), ""[^0-9]"", """")), 0)"),68.0)</f>
        <v>68</v>
      </c>
      <c r="O5" s="6" t="str">
        <f t="shared" si="4"/>
        <v>APAC</v>
      </c>
      <c r="P5" s="6">
        <f t="array" ref="P5">INDEX(exchange_rates!$C:$C, MATCH(1, (exchange_rates!$B:$B=E5) * (exchange_rates!$A:$A=B5), 0))</f>
        <v>0.012</v>
      </c>
      <c r="Q5" s="6">
        <f t="shared" si="5"/>
        <v>1920</v>
      </c>
      <c r="R5" s="6">
        <f t="shared" si="6"/>
        <v>1</v>
      </c>
      <c r="S5" s="6">
        <f t="shared" si="7"/>
        <v>0</v>
      </c>
    </row>
    <row r="6">
      <c r="A6" s="3" t="s">
        <v>42</v>
      </c>
      <c r="B6" s="4">
        <v>46083.0</v>
      </c>
      <c r="C6" s="3" t="s">
        <v>43</v>
      </c>
      <c r="D6" s="3">
        <v>390000.0</v>
      </c>
      <c r="E6" s="3" t="s">
        <v>21</v>
      </c>
      <c r="F6" s="3" t="s">
        <v>34</v>
      </c>
      <c r="G6" s="3">
        <v>58.0</v>
      </c>
      <c r="I6" s="3" t="s">
        <v>25</v>
      </c>
      <c r="J6" s="3" t="s">
        <v>26</v>
      </c>
      <c r="K6" s="3" t="str">
        <f t="shared" si="1"/>
        <v>Alpha Mart</v>
      </c>
      <c r="L6" s="5">
        <f t="shared" si="2"/>
        <v>46083</v>
      </c>
      <c r="M6" s="6" t="str">
        <f t="shared" si="3"/>
        <v>CAPTURED</v>
      </c>
      <c r="N6" s="6">
        <f>IFERROR(__xludf.DUMMYFUNCTION("IFERROR(VALUE(REGEXREPLACE(TO_TEXT(G6), ""[^0-9]"", """")), 0)"),58.0)</f>
        <v>58</v>
      </c>
      <c r="O6" s="6" t="str">
        <f t="shared" si="4"/>
        <v>UNKNOWN</v>
      </c>
      <c r="P6" s="6">
        <f t="array" ref="P6">INDEX(exchange_rates!$C:$C, MATCH(1, (exchange_rates!$B:$B=E6) * (exchange_rates!$A:$A=B6), 0))</f>
        <v>0.012</v>
      </c>
      <c r="Q6" s="6">
        <f t="shared" si="5"/>
        <v>4680</v>
      </c>
      <c r="R6" s="6">
        <f t="shared" si="6"/>
        <v>0</v>
      </c>
      <c r="S6" s="6">
        <f t="shared" si="7"/>
        <v>0</v>
      </c>
    </row>
    <row r="7">
      <c r="A7" s="3" t="s">
        <v>44</v>
      </c>
      <c r="B7" s="4">
        <v>46083.0</v>
      </c>
      <c r="C7" s="3" t="s">
        <v>38</v>
      </c>
      <c r="D7" s="3">
        <v>275000.0</v>
      </c>
      <c r="E7" s="3" t="s">
        <v>21</v>
      </c>
      <c r="F7" s="3" t="s">
        <v>29</v>
      </c>
      <c r="G7" s="3" t="s">
        <v>45</v>
      </c>
      <c r="I7" s="3" t="s">
        <v>46</v>
      </c>
      <c r="J7" s="3" t="s">
        <v>47</v>
      </c>
      <c r="K7" s="3" t="str">
        <f t="shared" si="1"/>
        <v>Beta Stores</v>
      </c>
      <c r="L7" s="5">
        <f t="shared" si="2"/>
        <v>46083</v>
      </c>
      <c r="M7" s="6" t="str">
        <f t="shared" si="3"/>
        <v>CAPTURED</v>
      </c>
      <c r="N7" s="6">
        <f>IFERROR(__xludf.DUMMYFUNCTION("IFERROR(VALUE(REGEXREPLACE(TO_TEXT(G7), ""[^0-9]"", """")), 0)"),64.0)</f>
        <v>64</v>
      </c>
      <c r="O7" s="6" t="str">
        <f t="shared" si="4"/>
        <v>UNKNOWN</v>
      </c>
      <c r="P7" s="6">
        <f t="array" ref="P7">INDEX(exchange_rates!$C:$C, MATCH(1, (exchange_rates!$B:$B=E7) * (exchange_rates!$A:$A=B7), 0))</f>
        <v>0.012</v>
      </c>
      <c r="Q7" s="6">
        <f t="shared" si="5"/>
        <v>3300</v>
      </c>
      <c r="R7" s="6">
        <f t="shared" si="6"/>
        <v>0</v>
      </c>
      <c r="S7" s="6">
        <f t="shared" si="7"/>
        <v>0</v>
      </c>
    </row>
    <row r="8">
      <c r="A8" s="3" t="s">
        <v>48</v>
      </c>
      <c r="B8" s="4">
        <v>46083.0</v>
      </c>
      <c r="C8" s="3" t="s">
        <v>49</v>
      </c>
      <c r="D8" s="3">
        <v>450000.0</v>
      </c>
      <c r="E8" s="3" t="s">
        <v>21</v>
      </c>
      <c r="F8" s="3" t="s">
        <v>50</v>
      </c>
      <c r="G8" s="3" t="s">
        <v>51</v>
      </c>
      <c r="H8" s="3" t="s">
        <v>24</v>
      </c>
      <c r="I8" s="3" t="s">
        <v>52</v>
      </c>
      <c r="J8" s="3" t="s">
        <v>31</v>
      </c>
      <c r="K8" s="3" t="str">
        <f t="shared" si="1"/>
        <v>Alpha Mart</v>
      </c>
      <c r="L8" s="5">
        <f t="shared" si="2"/>
        <v>46083</v>
      </c>
      <c r="M8" s="6" t="str">
        <f t="shared" si="3"/>
        <v>OTHER</v>
      </c>
      <c r="N8" s="6">
        <f>IFERROR(__xludf.DUMMYFUNCTION("IFERROR(VALUE(REGEXREPLACE(TO_TEXT(G8), ""[^0-9]"", """")), 0)"),83.0)</f>
        <v>83</v>
      </c>
      <c r="O8" s="6" t="str">
        <f t="shared" si="4"/>
        <v>APAC</v>
      </c>
      <c r="P8" s="6">
        <f t="array" ref="P8">INDEX(exchange_rates!$C:$C, MATCH(1, (exchange_rates!$B:$B=E8) * (exchange_rates!$A:$A=B8), 0))</f>
        <v>0.012</v>
      </c>
      <c r="Q8" s="6">
        <f t="shared" si="5"/>
        <v>5400</v>
      </c>
      <c r="R8" s="6">
        <f t="shared" si="6"/>
        <v>1</v>
      </c>
      <c r="S8" s="6">
        <f t="shared" si="7"/>
        <v>1</v>
      </c>
    </row>
    <row r="9">
      <c r="A9" s="3" t="s">
        <v>53</v>
      </c>
      <c r="B9" s="4">
        <v>46084.0</v>
      </c>
      <c r="C9" s="3" t="s">
        <v>33</v>
      </c>
      <c r="D9" s="3">
        <v>340000.0</v>
      </c>
      <c r="E9" s="3" t="s">
        <v>21</v>
      </c>
      <c r="F9" s="3" t="s">
        <v>29</v>
      </c>
      <c r="G9" s="3">
        <v>59.0</v>
      </c>
      <c r="I9" s="3" t="s">
        <v>54</v>
      </c>
      <c r="J9" s="3" t="s">
        <v>26</v>
      </c>
      <c r="K9" s="3" t="str">
        <f t="shared" si="1"/>
        <v>Beta Stores</v>
      </c>
      <c r="L9" s="5">
        <f t="shared" si="2"/>
        <v>46084</v>
      </c>
      <c r="M9" s="6" t="str">
        <f t="shared" si="3"/>
        <v>CAPTURED</v>
      </c>
      <c r="N9" s="6">
        <f>IFERROR(__xludf.DUMMYFUNCTION("IFERROR(VALUE(REGEXREPLACE(TO_TEXT(G9), ""[^0-9]"", """")), 0)"),59.0)</f>
        <v>59</v>
      </c>
      <c r="O9" s="6" t="str">
        <f t="shared" si="4"/>
        <v>UNKNOWN</v>
      </c>
      <c r="P9" s="6">
        <f t="array" ref="P9">INDEX(exchange_rates!$C:$C, MATCH(1, (exchange_rates!$B:$B=E9) * (exchange_rates!$A:$A=B9), 0))</f>
        <v>0.0121</v>
      </c>
      <c r="Q9" s="6">
        <f t="shared" si="5"/>
        <v>4114</v>
      </c>
      <c r="R9" s="6">
        <f t="shared" si="6"/>
        <v>0</v>
      </c>
      <c r="S9" s="6">
        <f t="shared" si="7"/>
        <v>0</v>
      </c>
    </row>
    <row r="10">
      <c r="A10" s="3" t="s">
        <v>55</v>
      </c>
      <c r="B10" s="4">
        <v>46084.0</v>
      </c>
      <c r="C10" s="3" t="s">
        <v>43</v>
      </c>
      <c r="D10" s="3">
        <v>125000.0</v>
      </c>
      <c r="E10" s="3" t="s">
        <v>21</v>
      </c>
      <c r="F10" s="3" t="s">
        <v>22</v>
      </c>
      <c r="G10" s="3">
        <v>46.0</v>
      </c>
      <c r="H10" s="3" t="s">
        <v>24</v>
      </c>
      <c r="I10" s="3" t="s">
        <v>30</v>
      </c>
      <c r="J10" s="3" t="s">
        <v>47</v>
      </c>
      <c r="K10" s="3" t="str">
        <f t="shared" si="1"/>
        <v>Alpha Mart</v>
      </c>
      <c r="L10" s="5">
        <f t="shared" si="2"/>
        <v>46084</v>
      </c>
      <c r="M10" s="6" t="str">
        <f t="shared" si="3"/>
        <v>CAPTURED</v>
      </c>
      <c r="N10" s="6">
        <f>IFERROR(__xludf.DUMMYFUNCTION("IFERROR(VALUE(REGEXREPLACE(TO_TEXT(G10), ""[^0-9]"", """")), 0)"),46.0)</f>
        <v>46</v>
      </c>
      <c r="O10" s="6" t="str">
        <f t="shared" si="4"/>
        <v>APAC</v>
      </c>
      <c r="P10" s="6">
        <f t="array" ref="P10">INDEX(exchange_rates!$C:$C, MATCH(1, (exchange_rates!$B:$B=E10) * (exchange_rates!$A:$A=B10), 0))</f>
        <v>0.0121</v>
      </c>
      <c r="Q10" s="6">
        <f t="shared" si="5"/>
        <v>1512.5</v>
      </c>
      <c r="R10" s="6">
        <f t="shared" si="6"/>
        <v>1</v>
      </c>
      <c r="S10" s="6">
        <f t="shared" si="7"/>
        <v>0</v>
      </c>
    </row>
    <row r="11">
      <c r="A11" s="3" t="s">
        <v>56</v>
      </c>
      <c r="B11" s="4">
        <v>46084.0</v>
      </c>
      <c r="C11" s="3" t="s">
        <v>57</v>
      </c>
      <c r="D11" s="3">
        <v>610000.0</v>
      </c>
      <c r="E11" s="3" t="s">
        <v>21</v>
      </c>
      <c r="F11" s="3" t="s">
        <v>22</v>
      </c>
      <c r="G11" s="3" t="s">
        <v>58</v>
      </c>
      <c r="I11" s="3" t="s">
        <v>35</v>
      </c>
      <c r="J11" s="3" t="s">
        <v>31</v>
      </c>
      <c r="K11" s="3" t="str">
        <f t="shared" si="1"/>
        <v>Beta Stores</v>
      </c>
      <c r="L11" s="5">
        <f t="shared" si="2"/>
        <v>46084</v>
      </c>
      <c r="M11" s="6" t="str">
        <f t="shared" si="3"/>
        <v>CAPTURED</v>
      </c>
      <c r="N11" s="6">
        <f>IFERROR(__xludf.DUMMYFUNCTION("IFERROR(VALUE(REGEXREPLACE(TO_TEXT(G11), ""[^0-9]"", """")), 0)"),77.0)</f>
        <v>77</v>
      </c>
      <c r="O11" s="6" t="str">
        <f t="shared" si="4"/>
        <v>UNKNOWN</v>
      </c>
      <c r="P11" s="6">
        <f t="array" ref="P11">INDEX(exchange_rates!$C:$C, MATCH(1, (exchange_rates!$B:$B=E11) * (exchange_rates!$A:$A=B11), 0))</f>
        <v>0.0121</v>
      </c>
      <c r="Q11" s="6">
        <f t="shared" si="5"/>
        <v>7381</v>
      </c>
      <c r="R11" s="6">
        <f t="shared" si="6"/>
        <v>0</v>
      </c>
      <c r="S11" s="6">
        <f t="shared" si="7"/>
        <v>1</v>
      </c>
    </row>
    <row r="12">
      <c r="A12" s="3" t="s">
        <v>59</v>
      </c>
      <c r="B12" s="4">
        <v>46084.0</v>
      </c>
      <c r="C12" s="3" t="s">
        <v>49</v>
      </c>
      <c r="D12" s="3">
        <v>195000.0</v>
      </c>
      <c r="E12" s="3" t="s">
        <v>21</v>
      </c>
      <c r="F12" s="3" t="s">
        <v>60</v>
      </c>
      <c r="I12" s="3" t="s">
        <v>61</v>
      </c>
      <c r="J12" s="3" t="s">
        <v>26</v>
      </c>
      <c r="K12" s="3" t="str">
        <f t="shared" si="1"/>
        <v>Alpha Mart</v>
      </c>
      <c r="L12" s="5">
        <f t="shared" si="2"/>
        <v>46084</v>
      </c>
      <c r="M12" s="6" t="str">
        <f t="shared" si="3"/>
        <v>FAILED</v>
      </c>
      <c r="N12" s="6">
        <f>IFERROR(__xludf.DUMMYFUNCTION("IFERROR(VALUE(REGEXREPLACE(TO_TEXT(G12), ""[^0-9]"", """")), 0)"),0.0)</f>
        <v>0</v>
      </c>
      <c r="O12" s="6" t="str">
        <f t="shared" si="4"/>
        <v>UNKNOWN</v>
      </c>
      <c r="P12" s="6">
        <f t="array" ref="P12">INDEX(exchange_rates!$C:$C, MATCH(1, (exchange_rates!$B:$B=E12) * (exchange_rates!$A:$A=B12), 0))</f>
        <v>0.0121</v>
      </c>
      <c r="Q12" s="6">
        <f t="shared" si="5"/>
        <v>2359.5</v>
      </c>
      <c r="R12" s="6">
        <f t="shared" si="6"/>
        <v>0</v>
      </c>
      <c r="S12" s="6">
        <f t="shared" si="7"/>
        <v>0</v>
      </c>
    </row>
    <row r="13">
      <c r="A13" s="3" t="s">
        <v>62</v>
      </c>
      <c r="B13" s="4">
        <v>46085.0</v>
      </c>
      <c r="C13" s="3" t="s">
        <v>38</v>
      </c>
      <c r="D13" s="3">
        <v>250000.0</v>
      </c>
      <c r="E13" s="3" t="s">
        <v>21</v>
      </c>
      <c r="F13" s="3" t="s">
        <v>22</v>
      </c>
      <c r="G13" s="3" t="s">
        <v>63</v>
      </c>
      <c r="H13" s="3" t="s">
        <v>24</v>
      </c>
      <c r="I13" s="3" t="s">
        <v>64</v>
      </c>
      <c r="J13" s="3" t="s">
        <v>31</v>
      </c>
      <c r="K13" s="3" t="str">
        <f t="shared" si="1"/>
        <v>Beta Stores</v>
      </c>
      <c r="L13" s="5">
        <f t="shared" si="2"/>
        <v>46085</v>
      </c>
      <c r="M13" s="6" t="str">
        <f t="shared" si="3"/>
        <v>CAPTURED</v>
      </c>
      <c r="N13" s="6">
        <f>IFERROR(__xludf.DUMMYFUNCTION("IFERROR(VALUE(REGEXREPLACE(TO_TEXT(G13), ""[^0-9]"", """")), 0)"),61.0)</f>
        <v>61</v>
      </c>
      <c r="O13" s="6" t="str">
        <f t="shared" si="4"/>
        <v>APAC</v>
      </c>
      <c r="P13" s="6">
        <f t="array" ref="P13">INDEX(exchange_rates!$C:$C, MATCH(1, (exchange_rates!$B:$B=E13) * (exchange_rates!$A:$A=B13), 0))</f>
        <v>0.012</v>
      </c>
      <c r="Q13" s="6">
        <f t="shared" si="5"/>
        <v>3000</v>
      </c>
      <c r="R13" s="6">
        <f t="shared" si="6"/>
        <v>1</v>
      </c>
      <c r="S13" s="6">
        <f t="shared" si="7"/>
        <v>0</v>
      </c>
    </row>
    <row r="14">
      <c r="A14" s="3" t="s">
        <v>65</v>
      </c>
      <c r="B14" s="4">
        <v>46085.0</v>
      </c>
      <c r="C14" s="3" t="s">
        <v>20</v>
      </c>
      <c r="D14" s="3">
        <v>310000.0</v>
      </c>
      <c r="E14" s="3" t="s">
        <v>21</v>
      </c>
      <c r="F14" s="3" t="s">
        <v>22</v>
      </c>
      <c r="G14" s="3" t="s">
        <v>66</v>
      </c>
      <c r="H14" s="3" t="s">
        <v>24</v>
      </c>
      <c r="I14" s="3" t="s">
        <v>67</v>
      </c>
      <c r="J14" s="3" t="s">
        <v>26</v>
      </c>
      <c r="K14" s="3" t="str">
        <f t="shared" si="1"/>
        <v>Alpha Mart</v>
      </c>
      <c r="L14" s="5">
        <f t="shared" si="2"/>
        <v>46085</v>
      </c>
      <c r="M14" s="6" t="str">
        <f t="shared" si="3"/>
        <v>CAPTURED</v>
      </c>
      <c r="N14" s="6">
        <f>IFERROR(__xludf.DUMMYFUNCTION("IFERROR(VALUE(REGEXREPLACE(TO_TEXT(G14), ""[^0-9]"", """")), 0)"),54.0)</f>
        <v>54</v>
      </c>
      <c r="O14" s="6" t="str">
        <f t="shared" si="4"/>
        <v>APAC</v>
      </c>
      <c r="P14" s="6">
        <f t="array" ref="P14">INDEX(exchange_rates!$C:$C, MATCH(1, (exchange_rates!$B:$B=E14) * (exchange_rates!$A:$A=B14), 0))</f>
        <v>0.012</v>
      </c>
      <c r="Q14" s="6">
        <f t="shared" si="5"/>
        <v>3720</v>
      </c>
      <c r="R14" s="6">
        <f t="shared" si="6"/>
        <v>1</v>
      </c>
      <c r="S14" s="6">
        <f t="shared" si="7"/>
        <v>0</v>
      </c>
    </row>
    <row r="15">
      <c r="A15" s="3" t="s">
        <v>68</v>
      </c>
      <c r="B15" s="4">
        <v>46085.0</v>
      </c>
      <c r="C15" s="3" t="s">
        <v>38</v>
      </c>
      <c r="D15" s="3">
        <v>470000.0</v>
      </c>
      <c r="E15" s="3" t="s">
        <v>21</v>
      </c>
      <c r="F15" s="3" t="s">
        <v>22</v>
      </c>
      <c r="G15" s="3" t="s">
        <v>69</v>
      </c>
      <c r="H15" s="3" t="s">
        <v>24</v>
      </c>
      <c r="I15" s="3" t="s">
        <v>25</v>
      </c>
      <c r="J15" s="3" t="s">
        <v>36</v>
      </c>
      <c r="K15" s="3" t="str">
        <f t="shared" si="1"/>
        <v>Beta Stores</v>
      </c>
      <c r="L15" s="5">
        <f t="shared" si="2"/>
        <v>46085</v>
      </c>
      <c r="M15" s="6" t="str">
        <f t="shared" si="3"/>
        <v>CAPTURED</v>
      </c>
      <c r="N15" s="6">
        <f>IFERROR(__xludf.DUMMYFUNCTION("IFERROR(VALUE(REGEXREPLACE(TO_TEXT(G15), ""[^0-9]"", """")), 0)"),73.0)</f>
        <v>73</v>
      </c>
      <c r="O15" s="6" t="str">
        <f t="shared" si="4"/>
        <v>APAC</v>
      </c>
      <c r="P15" s="6">
        <f t="array" ref="P15">INDEX(exchange_rates!$C:$C, MATCH(1, (exchange_rates!$B:$B=E15) * (exchange_rates!$A:$A=B15), 0))</f>
        <v>0.012</v>
      </c>
      <c r="Q15" s="6">
        <f t="shared" si="5"/>
        <v>5640</v>
      </c>
      <c r="R15" s="6">
        <f t="shared" si="6"/>
        <v>1</v>
      </c>
      <c r="S15" s="6">
        <f t="shared" si="7"/>
        <v>1</v>
      </c>
    </row>
    <row r="16">
      <c r="A16" s="3" t="s">
        <v>70</v>
      </c>
      <c r="B16" s="4">
        <v>46085.0</v>
      </c>
      <c r="C16" s="3" t="s">
        <v>43</v>
      </c>
      <c r="D16" s="3">
        <v>130000.0</v>
      </c>
      <c r="E16" s="3" t="s">
        <v>21</v>
      </c>
      <c r="F16" s="3" t="s">
        <v>22</v>
      </c>
      <c r="G16" s="3" t="s">
        <v>71</v>
      </c>
      <c r="I16" s="3" t="s">
        <v>30</v>
      </c>
      <c r="J16" s="3" t="s">
        <v>31</v>
      </c>
      <c r="K16" s="3" t="str">
        <f t="shared" si="1"/>
        <v>Alpha Mart</v>
      </c>
      <c r="L16" s="5">
        <f t="shared" si="2"/>
        <v>46085</v>
      </c>
      <c r="M16" s="6" t="str">
        <f t="shared" si="3"/>
        <v>CAPTURED</v>
      </c>
      <c r="N16" s="6">
        <f>IFERROR(__xludf.DUMMYFUNCTION("IFERROR(VALUE(REGEXREPLACE(TO_TEXT(G16), ""[^0-9]"", """")), 0)"),52.0)</f>
        <v>52</v>
      </c>
      <c r="O16" s="6" t="str">
        <f t="shared" si="4"/>
        <v>UNKNOWN</v>
      </c>
      <c r="P16" s="6">
        <f t="array" ref="P16">INDEX(exchange_rates!$C:$C, MATCH(1, (exchange_rates!$B:$B=E16) * (exchange_rates!$A:$A=B16), 0))</f>
        <v>0.012</v>
      </c>
      <c r="Q16" s="6">
        <f t="shared" si="5"/>
        <v>1560</v>
      </c>
      <c r="R16" s="6">
        <f t="shared" si="6"/>
        <v>0</v>
      </c>
      <c r="S16" s="6">
        <f t="shared" si="7"/>
        <v>0</v>
      </c>
    </row>
    <row r="17">
      <c r="A17" s="3" t="s">
        <v>72</v>
      </c>
      <c r="B17" s="4">
        <v>46086.0</v>
      </c>
      <c r="C17" s="3" t="s">
        <v>38</v>
      </c>
      <c r="D17" s="3">
        <v>220000.0</v>
      </c>
      <c r="E17" s="3" t="s">
        <v>21</v>
      </c>
      <c r="F17" s="3" t="s">
        <v>73</v>
      </c>
      <c r="G17" s="3" t="s">
        <v>74</v>
      </c>
      <c r="I17" s="3" t="s">
        <v>61</v>
      </c>
      <c r="J17" s="3" t="s">
        <v>31</v>
      </c>
      <c r="K17" s="3" t="str">
        <f t="shared" si="1"/>
        <v>Beta Stores</v>
      </c>
      <c r="L17" s="5">
        <f t="shared" si="2"/>
        <v>46086</v>
      </c>
      <c r="M17" s="6" t="str">
        <f t="shared" si="3"/>
        <v>FAILED</v>
      </c>
      <c r="N17" s="6">
        <f>IFERROR(__xludf.DUMMYFUNCTION("IFERROR(VALUE(REGEXREPLACE(TO_TEXT(G17), ""[^0-9]"", """")), 0)"),69.0)</f>
        <v>69</v>
      </c>
      <c r="O17" s="6" t="str">
        <f t="shared" si="4"/>
        <v>UNKNOWN</v>
      </c>
      <c r="P17" s="6">
        <f t="array" ref="P17">INDEX(exchange_rates!$C:$C, MATCH(1, (exchange_rates!$B:$B=E17) * (exchange_rates!$A:$A=B17), 0))</f>
        <v>0.0118</v>
      </c>
      <c r="Q17" s="6">
        <f t="shared" si="5"/>
        <v>2596</v>
      </c>
      <c r="R17" s="6">
        <f t="shared" si="6"/>
        <v>0</v>
      </c>
      <c r="S17" s="6">
        <f t="shared" si="7"/>
        <v>0</v>
      </c>
    </row>
    <row r="18">
      <c r="A18" s="3" t="s">
        <v>75</v>
      </c>
      <c r="B18" s="4">
        <v>46086.0</v>
      </c>
      <c r="C18" s="3" t="s">
        <v>38</v>
      </c>
      <c r="D18" s="3">
        <v>180000.0</v>
      </c>
      <c r="E18" s="3" t="s">
        <v>21</v>
      </c>
      <c r="F18" s="3" t="s">
        <v>76</v>
      </c>
      <c r="G18" s="3" t="s">
        <v>77</v>
      </c>
      <c r="H18" s="3" t="s">
        <v>40</v>
      </c>
      <c r="I18" s="3" t="s">
        <v>61</v>
      </c>
      <c r="J18" s="3" t="s">
        <v>31</v>
      </c>
      <c r="K18" s="3" t="str">
        <f t="shared" si="1"/>
        <v>Beta Stores</v>
      </c>
      <c r="L18" s="5">
        <f t="shared" si="2"/>
        <v>46086</v>
      </c>
      <c r="M18" s="6" t="str">
        <f t="shared" si="3"/>
        <v>FAILED</v>
      </c>
      <c r="N18" s="6">
        <f>IFERROR(__xludf.DUMMYFUNCTION("IFERROR(VALUE(REGEXREPLACE(TO_TEXT(G18), ""[^0-9]"", """")), 0)"),72.0)</f>
        <v>72</v>
      </c>
      <c r="O18" s="6" t="str">
        <f t="shared" si="4"/>
        <v>APAC</v>
      </c>
      <c r="P18" s="6">
        <f t="array" ref="P18">INDEX(exchange_rates!$C:$C, MATCH(1, (exchange_rates!$B:$B=E18) * (exchange_rates!$A:$A=B18), 0))</f>
        <v>0.0118</v>
      </c>
      <c r="Q18" s="6">
        <f t="shared" si="5"/>
        <v>2124</v>
      </c>
      <c r="R18" s="6">
        <f t="shared" si="6"/>
        <v>1</v>
      </c>
      <c r="S18" s="6">
        <f t="shared" si="7"/>
        <v>1</v>
      </c>
    </row>
    <row r="19">
      <c r="A19" s="3" t="s">
        <v>78</v>
      </c>
      <c r="B19" s="4">
        <v>46086.0</v>
      </c>
      <c r="C19" s="3" t="s">
        <v>33</v>
      </c>
      <c r="D19" s="3">
        <v>145000.0</v>
      </c>
      <c r="E19" s="3" t="s">
        <v>21</v>
      </c>
      <c r="F19" s="3" t="s">
        <v>50</v>
      </c>
      <c r="G19" s="3" t="s">
        <v>79</v>
      </c>
      <c r="H19" s="3" t="s">
        <v>24</v>
      </c>
      <c r="I19" s="3" t="s">
        <v>61</v>
      </c>
      <c r="J19" s="3" t="s">
        <v>26</v>
      </c>
      <c r="K19" s="3" t="str">
        <f t="shared" si="1"/>
        <v>Beta Stores</v>
      </c>
      <c r="L19" s="5">
        <f t="shared" si="2"/>
        <v>46086</v>
      </c>
      <c r="M19" s="6" t="str">
        <f t="shared" si="3"/>
        <v>OTHER</v>
      </c>
      <c r="N19" s="6">
        <f>IFERROR(__xludf.DUMMYFUNCTION("IFERROR(VALUE(REGEXREPLACE(TO_TEXT(G19), ""[^0-9]"", """")), 0)"),86.0)</f>
        <v>86</v>
      </c>
      <c r="O19" s="6" t="str">
        <f t="shared" si="4"/>
        <v>APAC</v>
      </c>
      <c r="P19" s="6">
        <f t="array" ref="P19">INDEX(exchange_rates!$C:$C, MATCH(1, (exchange_rates!$B:$B=E19) * (exchange_rates!$A:$A=B19), 0))</f>
        <v>0.0118</v>
      </c>
      <c r="Q19" s="6">
        <f t="shared" si="5"/>
        <v>1711</v>
      </c>
      <c r="R19" s="6">
        <f t="shared" si="6"/>
        <v>1</v>
      </c>
      <c r="S19" s="6">
        <f t="shared" si="7"/>
        <v>1</v>
      </c>
    </row>
    <row r="20">
      <c r="A20" s="3" t="s">
        <v>80</v>
      </c>
      <c r="B20" s="4">
        <v>46086.0</v>
      </c>
      <c r="C20" s="3" t="s">
        <v>49</v>
      </c>
      <c r="D20" s="3">
        <v>260000.0</v>
      </c>
      <c r="E20" s="3" t="s">
        <v>21</v>
      </c>
      <c r="F20" s="3" t="s">
        <v>76</v>
      </c>
      <c r="G20" s="3" t="s">
        <v>81</v>
      </c>
      <c r="H20" s="3" t="s">
        <v>40</v>
      </c>
      <c r="I20" s="3" t="s">
        <v>61</v>
      </c>
      <c r="J20" s="3" t="s">
        <v>47</v>
      </c>
      <c r="K20" s="3" t="str">
        <f t="shared" si="1"/>
        <v>Alpha Mart</v>
      </c>
      <c r="L20" s="5">
        <f t="shared" si="2"/>
        <v>46086</v>
      </c>
      <c r="M20" s="6" t="str">
        <f t="shared" si="3"/>
        <v>FAILED</v>
      </c>
      <c r="N20" s="6">
        <f>IFERROR(__xludf.DUMMYFUNCTION("IFERROR(VALUE(REGEXREPLACE(TO_TEXT(G20), ""[^0-9]"", """")), 0)"),67.0)</f>
        <v>67</v>
      </c>
      <c r="O20" s="6" t="str">
        <f t="shared" si="4"/>
        <v>APAC</v>
      </c>
      <c r="P20" s="6">
        <f t="array" ref="P20">INDEX(exchange_rates!$C:$C, MATCH(1, (exchange_rates!$B:$B=E20) * (exchange_rates!$A:$A=B20), 0))</f>
        <v>0.0118</v>
      </c>
      <c r="Q20" s="6">
        <f t="shared" si="5"/>
        <v>3068</v>
      </c>
      <c r="R20" s="6">
        <f t="shared" si="6"/>
        <v>1</v>
      </c>
      <c r="S20" s="6">
        <f t="shared" si="7"/>
        <v>0</v>
      </c>
    </row>
    <row r="21">
      <c r="A21" s="3" t="s">
        <v>82</v>
      </c>
      <c r="B21" s="4">
        <v>46086.0</v>
      </c>
      <c r="C21" s="3" t="s">
        <v>43</v>
      </c>
      <c r="D21" s="3">
        <v>520000.0</v>
      </c>
      <c r="E21" s="3" t="s">
        <v>21</v>
      </c>
      <c r="F21" s="3" t="s">
        <v>29</v>
      </c>
      <c r="G21" s="3">
        <v>75.0</v>
      </c>
      <c r="H21" s="3" t="s">
        <v>24</v>
      </c>
      <c r="I21" s="3" t="s">
        <v>46</v>
      </c>
      <c r="J21" s="3" t="s">
        <v>26</v>
      </c>
      <c r="K21" s="3" t="str">
        <f t="shared" si="1"/>
        <v>Alpha Mart</v>
      </c>
      <c r="L21" s="5">
        <f t="shared" si="2"/>
        <v>46086</v>
      </c>
      <c r="M21" s="6" t="str">
        <f t="shared" si="3"/>
        <v>CAPTURED</v>
      </c>
      <c r="N21" s="6">
        <f>IFERROR(__xludf.DUMMYFUNCTION("IFERROR(VALUE(REGEXREPLACE(TO_TEXT(G21), ""[^0-9]"", """")), 0)"),75.0)</f>
        <v>75</v>
      </c>
      <c r="O21" s="6" t="str">
        <f t="shared" si="4"/>
        <v>APAC</v>
      </c>
      <c r="P21" s="6">
        <f t="array" ref="P21">INDEX(exchange_rates!$C:$C, MATCH(1, (exchange_rates!$B:$B=E21) * (exchange_rates!$A:$A=B21), 0))</f>
        <v>0.0118</v>
      </c>
      <c r="Q21" s="6">
        <f t="shared" si="5"/>
        <v>6136</v>
      </c>
      <c r="R21" s="6">
        <f t="shared" si="6"/>
        <v>1</v>
      </c>
      <c r="S21" s="6">
        <f t="shared" si="7"/>
        <v>1</v>
      </c>
    </row>
    <row r="22">
      <c r="A22" s="3" t="s">
        <v>83</v>
      </c>
      <c r="B22" s="4">
        <v>46087.0</v>
      </c>
      <c r="C22" s="3" t="s">
        <v>84</v>
      </c>
      <c r="D22" s="3">
        <v>330000.0</v>
      </c>
      <c r="E22" s="3" t="s">
        <v>21</v>
      </c>
      <c r="F22" s="3" t="s">
        <v>22</v>
      </c>
      <c r="G22" s="3" t="s">
        <v>85</v>
      </c>
      <c r="I22" s="3" t="s">
        <v>52</v>
      </c>
      <c r="J22" s="3" t="s">
        <v>31</v>
      </c>
      <c r="K22" s="3" t="str">
        <f t="shared" si="1"/>
        <v>Beta Stores</v>
      </c>
      <c r="L22" s="5">
        <f t="shared" si="2"/>
        <v>46087</v>
      </c>
      <c r="M22" s="6" t="str">
        <f t="shared" si="3"/>
        <v>CAPTURED</v>
      </c>
      <c r="N22" s="6">
        <f>IFERROR(__xludf.DUMMYFUNCTION("IFERROR(VALUE(REGEXREPLACE(TO_TEXT(G22), ""[^0-9]"", """")), 0)"),63.0)</f>
        <v>63</v>
      </c>
      <c r="O22" s="6" t="str">
        <f t="shared" si="4"/>
        <v>UNKNOWN</v>
      </c>
      <c r="P22" s="6">
        <f t="array" ref="P22">INDEX(exchange_rates!$C:$C, MATCH(1, (exchange_rates!$B:$B=E22) * (exchange_rates!$A:$A=B22), 0))</f>
        <v>0.0119</v>
      </c>
      <c r="Q22" s="6">
        <f t="shared" si="5"/>
        <v>3927</v>
      </c>
      <c r="R22" s="6">
        <f t="shared" si="6"/>
        <v>0</v>
      </c>
      <c r="S22" s="6">
        <f t="shared" si="7"/>
        <v>0</v>
      </c>
    </row>
    <row r="23">
      <c r="A23" s="3" t="s">
        <v>86</v>
      </c>
      <c r="B23" s="4">
        <v>46087.0</v>
      </c>
      <c r="C23" s="3" t="s">
        <v>28</v>
      </c>
      <c r="D23" s="3">
        <v>410000.0</v>
      </c>
      <c r="E23" s="3" t="s">
        <v>21</v>
      </c>
      <c r="F23" s="3" t="s">
        <v>22</v>
      </c>
      <c r="G23" s="3">
        <v>60.0</v>
      </c>
      <c r="H23" s="3" t="s">
        <v>24</v>
      </c>
      <c r="I23" s="3" t="s">
        <v>54</v>
      </c>
      <c r="J23" s="3" t="s">
        <v>26</v>
      </c>
      <c r="K23" s="3" t="str">
        <f t="shared" si="1"/>
        <v>Alpha Mart</v>
      </c>
      <c r="L23" s="5">
        <f t="shared" si="2"/>
        <v>46087</v>
      </c>
      <c r="M23" s="6" t="str">
        <f t="shared" si="3"/>
        <v>CAPTURED</v>
      </c>
      <c r="N23" s="6">
        <f>IFERROR(__xludf.DUMMYFUNCTION("IFERROR(VALUE(REGEXREPLACE(TO_TEXT(G23), ""[^0-9]"", """")), 0)"),60.0)</f>
        <v>60</v>
      </c>
      <c r="O23" s="6" t="str">
        <f t="shared" si="4"/>
        <v>APAC</v>
      </c>
      <c r="P23" s="6">
        <f t="array" ref="P23">INDEX(exchange_rates!$C:$C, MATCH(1, (exchange_rates!$B:$B=E23) * (exchange_rates!$A:$A=B23), 0))</f>
        <v>0.0119</v>
      </c>
      <c r="Q23" s="6">
        <f t="shared" si="5"/>
        <v>4879</v>
      </c>
      <c r="R23" s="6">
        <f t="shared" si="6"/>
        <v>1</v>
      </c>
      <c r="S23" s="6">
        <f t="shared" si="7"/>
        <v>0</v>
      </c>
    </row>
    <row r="24">
      <c r="A24" s="3" t="s">
        <v>87</v>
      </c>
      <c r="B24" s="4">
        <v>46082.0</v>
      </c>
      <c r="C24" s="3" t="s">
        <v>88</v>
      </c>
      <c r="D24" s="3">
        <v>5200.0</v>
      </c>
      <c r="E24" s="3" t="s">
        <v>89</v>
      </c>
      <c r="F24" s="3" t="s">
        <v>29</v>
      </c>
      <c r="G24" s="3">
        <v>42.0</v>
      </c>
      <c r="H24" s="3" t="s">
        <v>90</v>
      </c>
      <c r="I24" s="3" t="s">
        <v>35</v>
      </c>
      <c r="J24" s="3" t="s">
        <v>31</v>
      </c>
      <c r="K24" s="3" t="str">
        <f t="shared" si="1"/>
        <v>City Pharma</v>
      </c>
      <c r="L24" s="5">
        <f t="shared" si="2"/>
        <v>46082</v>
      </c>
      <c r="M24" s="6" t="str">
        <f t="shared" si="3"/>
        <v>CAPTURED</v>
      </c>
      <c r="N24" s="6">
        <f>IFERROR(__xludf.DUMMYFUNCTION("IFERROR(VALUE(REGEXREPLACE(TO_TEXT(G24), ""[^0-9]"", """")), 0)"),42.0)</f>
        <v>42</v>
      </c>
      <c r="O24" s="6" t="str">
        <f t="shared" si="4"/>
        <v>EU</v>
      </c>
      <c r="P24" s="6">
        <f t="array" ref="P24">INDEX(exchange_rates!$C:$C, MATCH(1, (exchange_rates!$B:$B=E24) * (exchange_rates!$A:$A=B24), 0))</f>
        <v>1.08</v>
      </c>
      <c r="Q24" s="6">
        <f t="shared" si="5"/>
        <v>5616</v>
      </c>
      <c r="R24" s="6">
        <f t="shared" si="6"/>
        <v>0</v>
      </c>
      <c r="S24" s="6">
        <f t="shared" si="7"/>
        <v>0</v>
      </c>
    </row>
    <row r="25">
      <c r="A25" s="3" t="s">
        <v>91</v>
      </c>
      <c r="B25" s="4">
        <v>46083.0</v>
      </c>
      <c r="C25" s="3" t="s">
        <v>92</v>
      </c>
      <c r="D25" s="3">
        <v>6100.0</v>
      </c>
      <c r="E25" s="3" t="s">
        <v>89</v>
      </c>
      <c r="F25" s="3" t="s">
        <v>50</v>
      </c>
      <c r="G25" s="3" t="s">
        <v>93</v>
      </c>
      <c r="H25" s="3" t="s">
        <v>90</v>
      </c>
      <c r="I25" s="3" t="s">
        <v>41</v>
      </c>
      <c r="J25" s="3" t="s">
        <v>31</v>
      </c>
      <c r="K25" s="3" t="str">
        <f t="shared" si="1"/>
        <v>Eco Home</v>
      </c>
      <c r="L25" s="5">
        <f t="shared" si="2"/>
        <v>46083</v>
      </c>
      <c r="M25" s="6" t="str">
        <f t="shared" si="3"/>
        <v>OTHER</v>
      </c>
      <c r="N25" s="6">
        <f>IFERROR(__xludf.DUMMYFUNCTION("IFERROR(VALUE(REGEXREPLACE(TO_TEXT(G25), ""[^0-9]"", """")), 0)"),65.0)</f>
        <v>65</v>
      </c>
      <c r="O25" s="6" t="str">
        <f t="shared" si="4"/>
        <v>EU</v>
      </c>
      <c r="P25" s="6">
        <f t="array" ref="P25">INDEX(exchange_rates!$C:$C, MATCH(1, (exchange_rates!$B:$B=E25) * (exchange_rates!$A:$A=B25), 0))</f>
        <v>1.09</v>
      </c>
      <c r="Q25" s="6">
        <f t="shared" si="5"/>
        <v>6649</v>
      </c>
      <c r="R25" s="6">
        <f t="shared" si="6"/>
        <v>1</v>
      </c>
      <c r="S25" s="6">
        <f t="shared" si="7"/>
        <v>1</v>
      </c>
    </row>
    <row r="26">
      <c r="A26" s="3" t="s">
        <v>94</v>
      </c>
      <c r="B26" s="4">
        <v>46084.0</v>
      </c>
      <c r="C26" s="3" t="s">
        <v>88</v>
      </c>
      <c r="D26" s="3">
        <v>2800.0</v>
      </c>
      <c r="E26" s="3" t="s">
        <v>89</v>
      </c>
      <c r="F26" s="3" t="s">
        <v>22</v>
      </c>
      <c r="G26" s="3">
        <v>38.0</v>
      </c>
      <c r="H26" s="3" t="s">
        <v>95</v>
      </c>
      <c r="I26" s="3" t="s">
        <v>46</v>
      </c>
      <c r="J26" s="3" t="s">
        <v>47</v>
      </c>
      <c r="K26" s="3" t="str">
        <f t="shared" si="1"/>
        <v>City Pharma</v>
      </c>
      <c r="L26" s="5">
        <f t="shared" si="2"/>
        <v>46084</v>
      </c>
      <c r="M26" s="6" t="str">
        <f t="shared" si="3"/>
        <v>CAPTURED</v>
      </c>
      <c r="N26" s="6">
        <f>IFERROR(__xludf.DUMMYFUNCTION("IFERROR(VALUE(REGEXREPLACE(TO_TEXT(G26), ""[^0-9]"", """")), 0)"),38.0)</f>
        <v>38</v>
      </c>
      <c r="O26" s="6" t="str">
        <f t="shared" si="4"/>
        <v>EU</v>
      </c>
      <c r="P26" s="6">
        <f t="array" ref="P26">INDEX(exchange_rates!$C:$C, MATCH(1, (exchange_rates!$B:$B=E26) * (exchange_rates!$A:$A=B26), 0))</f>
        <v>1.08</v>
      </c>
      <c r="Q26" s="6">
        <f t="shared" si="5"/>
        <v>3024</v>
      </c>
      <c r="R26" s="6">
        <f t="shared" si="6"/>
        <v>0</v>
      </c>
      <c r="S26" s="6">
        <f t="shared" si="7"/>
        <v>0</v>
      </c>
    </row>
    <row r="27">
      <c r="A27" s="3" t="s">
        <v>96</v>
      </c>
      <c r="B27" s="4">
        <v>46086.0</v>
      </c>
      <c r="C27" s="3" t="s">
        <v>92</v>
      </c>
      <c r="D27" s="3">
        <v>3300.0</v>
      </c>
      <c r="E27" s="3" t="s">
        <v>89</v>
      </c>
      <c r="F27" s="3" t="s">
        <v>76</v>
      </c>
      <c r="G27" s="3">
        <v>44.0</v>
      </c>
      <c r="H27" s="3" t="s">
        <v>90</v>
      </c>
      <c r="I27" s="3" t="s">
        <v>52</v>
      </c>
      <c r="J27" s="3" t="s">
        <v>36</v>
      </c>
      <c r="K27" s="3" t="str">
        <f t="shared" si="1"/>
        <v>Eco Home</v>
      </c>
      <c r="L27" s="5">
        <f t="shared" si="2"/>
        <v>46086</v>
      </c>
      <c r="M27" s="6" t="str">
        <f t="shared" si="3"/>
        <v>FAILED</v>
      </c>
      <c r="N27" s="6">
        <f>IFERROR(__xludf.DUMMYFUNCTION("IFERROR(VALUE(REGEXREPLACE(TO_TEXT(G27), ""[^0-9]"", """")), 0)"),44.0)</f>
        <v>44</v>
      </c>
      <c r="O27" s="6" t="str">
        <f t="shared" si="4"/>
        <v>EU</v>
      </c>
      <c r="P27" s="6">
        <f t="array" ref="P27">INDEX(exchange_rates!$C:$C, MATCH(1, (exchange_rates!$B:$B=E27) * (exchange_rates!$A:$A=B27), 0))</f>
        <v>1.09</v>
      </c>
      <c r="Q27" s="6">
        <f t="shared" si="5"/>
        <v>3597</v>
      </c>
      <c r="R27" s="6">
        <f t="shared" si="6"/>
        <v>0</v>
      </c>
      <c r="S27" s="6">
        <f t="shared" si="7"/>
        <v>0</v>
      </c>
    </row>
    <row r="28">
      <c r="A28" s="3" t="s">
        <v>97</v>
      </c>
      <c r="B28" s="4">
        <v>46082.0</v>
      </c>
      <c r="C28" s="3" t="s">
        <v>98</v>
      </c>
      <c r="D28" s="3">
        <v>7200.0</v>
      </c>
      <c r="E28" s="3" t="s">
        <v>99</v>
      </c>
      <c r="F28" s="3" t="s">
        <v>22</v>
      </c>
      <c r="G28" s="3">
        <v>49.0</v>
      </c>
      <c r="H28" s="3" t="s">
        <v>100</v>
      </c>
      <c r="I28" s="3" t="s">
        <v>54</v>
      </c>
      <c r="J28" s="3" t="s">
        <v>31</v>
      </c>
      <c r="K28" s="3" t="str">
        <f t="shared" si="1"/>
        <v>Delta Travels</v>
      </c>
      <c r="L28" s="5">
        <f t="shared" si="2"/>
        <v>46082</v>
      </c>
      <c r="M28" s="6" t="str">
        <f t="shared" si="3"/>
        <v>CAPTURED</v>
      </c>
      <c r="N28" s="6">
        <f>IFERROR(__xludf.DUMMYFUNCTION("IFERROR(VALUE(REGEXREPLACE(TO_TEXT(G28), ""[^0-9]"", """")), 0)"),49.0)</f>
        <v>49</v>
      </c>
      <c r="O28" s="6" t="str">
        <f t="shared" si="4"/>
        <v>US</v>
      </c>
      <c r="P28" s="6">
        <f t="array" ref="P28">INDEX(exchange_rates!$C:$C, MATCH(1, (exchange_rates!$B:$B=E28) * (exchange_rates!$A:$A=B28), 0))</f>
        <v>1</v>
      </c>
      <c r="Q28" s="6">
        <f t="shared" si="5"/>
        <v>7200</v>
      </c>
      <c r="R28" s="6">
        <f t="shared" si="6"/>
        <v>1</v>
      </c>
      <c r="S28" s="6">
        <f t="shared" si="7"/>
        <v>0</v>
      </c>
    </row>
    <row r="29">
      <c r="A29" s="3" t="s">
        <v>101</v>
      </c>
      <c r="B29" s="4">
        <v>46083.0</v>
      </c>
      <c r="C29" s="3" t="s">
        <v>102</v>
      </c>
      <c r="D29" s="3">
        <v>3100.0</v>
      </c>
      <c r="E29" s="3" t="s">
        <v>99</v>
      </c>
      <c r="F29" s="3" t="s">
        <v>34</v>
      </c>
      <c r="G29" s="3" t="s">
        <v>103</v>
      </c>
      <c r="H29" s="3" t="s">
        <v>104</v>
      </c>
      <c r="I29" s="3" t="s">
        <v>61</v>
      </c>
      <c r="J29" s="3" t="s">
        <v>31</v>
      </c>
      <c r="K29" s="3" t="str">
        <f t="shared" si="1"/>
        <v>Delta Travels</v>
      </c>
      <c r="L29" s="5">
        <f t="shared" si="2"/>
        <v>46083</v>
      </c>
      <c r="M29" s="6" t="str">
        <f t="shared" si="3"/>
        <v>CAPTURED</v>
      </c>
      <c r="N29" s="6">
        <f>IFERROR(__xludf.DUMMYFUNCTION("IFERROR(VALUE(REGEXREPLACE(TO_TEXT(G29), ""[^0-9]"", """")), 0)"),41.0)</f>
        <v>41</v>
      </c>
      <c r="O29" s="6" t="str">
        <f t="shared" si="4"/>
        <v>US</v>
      </c>
      <c r="P29" s="6">
        <f t="array" ref="P29">INDEX(exchange_rates!$C:$C, MATCH(1, (exchange_rates!$B:$B=E29) * (exchange_rates!$A:$A=B29), 0))</f>
        <v>1</v>
      </c>
      <c r="Q29" s="6">
        <f t="shared" si="5"/>
        <v>3100</v>
      </c>
      <c r="R29" s="6">
        <f t="shared" si="6"/>
        <v>0</v>
      </c>
      <c r="S29" s="6">
        <f t="shared" si="7"/>
        <v>0</v>
      </c>
    </row>
    <row r="30">
      <c r="A30" s="3" t="s">
        <v>105</v>
      </c>
      <c r="B30" s="4">
        <v>46085.0</v>
      </c>
      <c r="C30" s="3" t="s">
        <v>106</v>
      </c>
      <c r="D30" s="3">
        <v>2500.0</v>
      </c>
      <c r="E30" s="3" t="s">
        <v>99</v>
      </c>
      <c r="F30" s="3" t="s">
        <v>50</v>
      </c>
      <c r="G30" s="3" t="s">
        <v>107</v>
      </c>
      <c r="H30" s="3" t="s">
        <v>104</v>
      </c>
      <c r="I30" s="3" t="s">
        <v>64</v>
      </c>
      <c r="J30" s="3" t="s">
        <v>47</v>
      </c>
      <c r="K30" s="3" t="str">
        <f t="shared" si="1"/>
        <v>Delta Travels</v>
      </c>
      <c r="L30" s="5">
        <f t="shared" si="2"/>
        <v>46085</v>
      </c>
      <c r="M30" s="6" t="str">
        <f t="shared" si="3"/>
        <v>OTHER</v>
      </c>
      <c r="N30" s="6">
        <f>IFERROR(__xludf.DUMMYFUNCTION("IFERROR(VALUE(REGEXREPLACE(TO_TEXT(G30), ""[^0-9]"", """")), 0)"),58.0)</f>
        <v>58</v>
      </c>
      <c r="O30" s="6" t="str">
        <f t="shared" si="4"/>
        <v>US</v>
      </c>
      <c r="P30" s="6">
        <f t="array" ref="P30">INDEX(exchange_rates!$C:$C, MATCH(1, (exchange_rates!$B:$B=E30) * (exchange_rates!$A:$A=B30), 0))</f>
        <v>1</v>
      </c>
      <c r="Q30" s="6">
        <f t="shared" si="5"/>
        <v>2500</v>
      </c>
      <c r="R30" s="6">
        <f t="shared" si="6"/>
        <v>0</v>
      </c>
      <c r="S30" s="6">
        <f t="shared" si="7"/>
        <v>1</v>
      </c>
    </row>
    <row r="31">
      <c r="A31" s="3" t="s">
        <v>108</v>
      </c>
      <c r="B31" s="4">
        <v>46087.0</v>
      </c>
      <c r="C31" s="3" t="s">
        <v>98</v>
      </c>
      <c r="D31" s="3">
        <v>1800.0</v>
      </c>
      <c r="E31" s="3" t="s">
        <v>99</v>
      </c>
      <c r="F31" s="3" t="s">
        <v>76</v>
      </c>
      <c r="G31" s="3" t="s">
        <v>109</v>
      </c>
      <c r="H31" s="3" t="s">
        <v>104</v>
      </c>
      <c r="I31" s="3" t="s">
        <v>67</v>
      </c>
      <c r="J31" s="3" t="s">
        <v>26</v>
      </c>
      <c r="K31" s="3" t="str">
        <f t="shared" si="1"/>
        <v>Delta Travels</v>
      </c>
      <c r="L31" s="5">
        <f t="shared" si="2"/>
        <v>46087</v>
      </c>
      <c r="M31" s="6" t="str">
        <f t="shared" si="3"/>
        <v>FAILED</v>
      </c>
      <c r="N31" s="6">
        <f>IFERROR(__xludf.DUMMYFUNCTION("IFERROR(VALUE(REGEXREPLACE(TO_TEXT(G31), ""[^0-9]"", """")), 0)"),47.0)</f>
        <v>47</v>
      </c>
      <c r="O31" s="6" t="str">
        <f t="shared" si="4"/>
        <v>US</v>
      </c>
      <c r="P31" s="6">
        <f t="array" ref="P31">INDEX(exchange_rates!$C:$C, MATCH(1, (exchange_rates!$B:$B=E31) * (exchange_rates!$A:$A=B31), 0))</f>
        <v>1</v>
      </c>
      <c r="Q31" s="6">
        <f t="shared" si="5"/>
        <v>1800</v>
      </c>
      <c r="R31" s="6">
        <f t="shared" si="6"/>
        <v>0</v>
      </c>
      <c r="S31" s="6">
        <f t="shared" si="7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0"/>
  </cols>
  <sheetData>
    <row r="1">
      <c r="A1" s="7" t="s">
        <v>110</v>
      </c>
      <c r="B1" s="7" t="s">
        <v>4</v>
      </c>
      <c r="C1" s="7" t="s">
        <v>111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46082.0</v>
      </c>
      <c r="B2" s="10" t="s">
        <v>21</v>
      </c>
      <c r="C2" s="11">
        <v>0.0119</v>
      </c>
    </row>
    <row r="3">
      <c r="A3" s="9">
        <v>46082.0</v>
      </c>
      <c r="B3" s="10" t="s">
        <v>89</v>
      </c>
      <c r="C3" s="11">
        <v>1.08</v>
      </c>
    </row>
    <row r="4">
      <c r="A4" s="9">
        <v>46082.0</v>
      </c>
      <c r="B4" s="10" t="s">
        <v>99</v>
      </c>
      <c r="C4" s="11">
        <v>1.0</v>
      </c>
    </row>
    <row r="5">
      <c r="A5" s="9">
        <v>46083.0</v>
      </c>
      <c r="B5" s="10" t="s">
        <v>21</v>
      </c>
      <c r="C5" s="11">
        <v>0.012</v>
      </c>
    </row>
    <row r="6">
      <c r="A6" s="9">
        <v>46083.0</v>
      </c>
      <c r="B6" s="10" t="s">
        <v>89</v>
      </c>
      <c r="C6" s="11">
        <v>1.09</v>
      </c>
    </row>
    <row r="7">
      <c r="A7" s="9">
        <v>46083.0</v>
      </c>
      <c r="B7" s="10" t="s">
        <v>99</v>
      </c>
      <c r="C7" s="11">
        <v>1.0</v>
      </c>
    </row>
    <row r="8">
      <c r="A8" s="9">
        <v>46084.0</v>
      </c>
      <c r="B8" s="10" t="s">
        <v>21</v>
      </c>
      <c r="C8" s="11">
        <v>0.0121</v>
      </c>
    </row>
    <row r="9">
      <c r="A9" s="9">
        <v>46084.0</v>
      </c>
      <c r="B9" s="10" t="s">
        <v>89</v>
      </c>
      <c r="C9" s="11">
        <v>1.08</v>
      </c>
    </row>
    <row r="10">
      <c r="A10" s="9">
        <v>46084.0</v>
      </c>
      <c r="B10" s="10" t="s">
        <v>99</v>
      </c>
      <c r="C10" s="11">
        <v>1.0</v>
      </c>
    </row>
    <row r="11">
      <c r="A11" s="9">
        <v>46085.0</v>
      </c>
      <c r="B11" s="10" t="s">
        <v>21</v>
      </c>
      <c r="C11" s="11">
        <v>0.012</v>
      </c>
    </row>
    <row r="12">
      <c r="A12" s="9">
        <v>46085.0</v>
      </c>
      <c r="B12" s="10" t="s">
        <v>89</v>
      </c>
      <c r="C12" s="11">
        <v>1.07</v>
      </c>
    </row>
    <row r="13">
      <c r="A13" s="9">
        <v>46085.0</v>
      </c>
      <c r="B13" s="10" t="s">
        <v>99</v>
      </c>
      <c r="C13" s="11">
        <v>1.0</v>
      </c>
    </row>
    <row r="14">
      <c r="A14" s="9">
        <v>46086.0</v>
      </c>
      <c r="B14" s="10" t="s">
        <v>21</v>
      </c>
      <c r="C14" s="11">
        <v>0.0118</v>
      </c>
    </row>
    <row r="15">
      <c r="A15" s="9">
        <v>46086.0</v>
      </c>
      <c r="B15" s="10" t="s">
        <v>89</v>
      </c>
      <c r="C15" s="11">
        <v>1.09</v>
      </c>
    </row>
    <row r="16">
      <c r="A16" s="9">
        <v>46086.0</v>
      </c>
      <c r="B16" s="10" t="s">
        <v>99</v>
      </c>
      <c r="C16" s="11">
        <v>1.0</v>
      </c>
    </row>
    <row r="17">
      <c r="A17" s="9">
        <v>46087.0</v>
      </c>
      <c r="B17" s="10" t="s">
        <v>21</v>
      </c>
      <c r="C17" s="11">
        <v>0.0119</v>
      </c>
    </row>
    <row r="18">
      <c r="A18" s="9">
        <v>46087.0</v>
      </c>
      <c r="B18" s="10" t="s">
        <v>89</v>
      </c>
      <c r="C18" s="11">
        <v>1.08</v>
      </c>
    </row>
    <row r="19">
      <c r="A19" s="9">
        <v>46087.0</v>
      </c>
      <c r="B19" s="10" t="s">
        <v>99</v>
      </c>
      <c r="C19" s="1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3.75"/>
    <col customWidth="1" min="3" max="3" width="15.25"/>
    <col customWidth="1" min="4" max="4" width="16.38"/>
    <col customWidth="1" min="5" max="5" width="12.5"/>
  </cols>
  <sheetData>
    <row r="1">
      <c r="A1" s="7" t="s">
        <v>112</v>
      </c>
      <c r="B1" s="7" t="s">
        <v>2</v>
      </c>
      <c r="C1" s="7" t="s">
        <v>113</v>
      </c>
      <c r="D1" s="7" t="s">
        <v>114</v>
      </c>
      <c r="E1" s="7" t="s">
        <v>115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 t="s">
        <v>116</v>
      </c>
      <c r="B2" s="10" t="s">
        <v>43</v>
      </c>
      <c r="C2" s="10" t="s">
        <v>117</v>
      </c>
      <c r="D2" s="10" t="s">
        <v>118</v>
      </c>
      <c r="E2" s="10" t="s">
        <v>24</v>
      </c>
    </row>
    <row r="3">
      <c r="A3" s="10" t="s">
        <v>119</v>
      </c>
      <c r="B3" s="10" t="s">
        <v>57</v>
      </c>
      <c r="C3" s="10" t="s">
        <v>120</v>
      </c>
      <c r="D3" s="10" t="s">
        <v>121</v>
      </c>
      <c r="E3" s="10" t="s">
        <v>24</v>
      </c>
    </row>
    <row r="4">
      <c r="A4" s="10" t="s">
        <v>122</v>
      </c>
      <c r="B4" s="10" t="s">
        <v>88</v>
      </c>
      <c r="C4" s="10" t="s">
        <v>123</v>
      </c>
      <c r="D4" s="10" t="s">
        <v>124</v>
      </c>
      <c r="E4" s="10" t="s">
        <v>90</v>
      </c>
    </row>
    <row r="5">
      <c r="A5" s="10" t="s">
        <v>125</v>
      </c>
      <c r="B5" s="10" t="s">
        <v>102</v>
      </c>
      <c r="C5" s="10" t="s">
        <v>126</v>
      </c>
      <c r="D5" s="10" t="s">
        <v>127</v>
      </c>
      <c r="E5" s="10" t="s">
        <v>104</v>
      </c>
    </row>
    <row r="6">
      <c r="A6" s="10" t="s">
        <v>128</v>
      </c>
      <c r="B6" s="10" t="s">
        <v>92</v>
      </c>
      <c r="C6" s="10" t="s">
        <v>129</v>
      </c>
      <c r="D6" s="10" t="s">
        <v>130</v>
      </c>
      <c r="E6" s="10" t="s">
        <v>90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0"/>
    <col customWidth="1" min="2" max="2" width="17.25"/>
  </cols>
  <sheetData>
    <row r="1"/>
    <row r="2"/>
    <row r="3"/>
    <row r="4"/>
    <row r="5"/>
    <row r="6"/>
    <row r="7"/>
  </sheetData>
  <drawing r:id="rId2"/>
</worksheet>
</file>